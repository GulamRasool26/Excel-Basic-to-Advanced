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-Basic-to-Advanced\"/>
    </mc:Choice>
  </mc:AlternateContent>
  <xr:revisionPtr revIDLastSave="0" documentId="8_{A9A8C6A8-E03D-4DAF-BBEC-6CA4B34EEABD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_1" sheetId="7" r:id="rId1"/>
    <sheet name="Data_2" sheetId="10" r:id="rId2"/>
    <sheet name="Errors" sheetId="8" r:id="rId3"/>
    <sheet name="And-Or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0" l="1" a="1"/>
  <c r="J3" i="10" s="1"/>
  <c r="J4" i="10" a="1"/>
  <c r="J4" i="10" s="1"/>
  <c r="J5" i="10" a="1"/>
  <c r="J5" i="10" s="1"/>
  <c r="J6" i="10" a="1"/>
  <c r="J6" i="10" s="1"/>
  <c r="J7" i="10" a="1"/>
  <c r="J7" i="10" s="1"/>
  <c r="J8" i="10" a="1"/>
  <c r="J8" i="10"/>
  <c r="J9" i="10" a="1"/>
  <c r="J9" i="10" s="1"/>
  <c r="J10" i="10" a="1"/>
  <c r="J10" i="10"/>
  <c r="J11" i="10" a="1"/>
  <c r="J11" i="10" s="1"/>
  <c r="J12" i="10" a="1"/>
  <c r="J12" i="10" s="1"/>
  <c r="J13" i="10" a="1"/>
  <c r="J13" i="10" s="1"/>
  <c r="J14" i="10" a="1"/>
  <c r="J14" i="10"/>
  <c r="J15" i="10" a="1"/>
  <c r="J15" i="10"/>
  <c r="J16" i="10" a="1"/>
  <c r="J16" i="10"/>
  <c r="J17" i="10" a="1"/>
  <c r="J17" i="10"/>
  <c r="J18" i="10" a="1"/>
  <c r="J18" i="10" s="1"/>
  <c r="J19" i="10" a="1"/>
  <c r="J19" i="10" s="1"/>
  <c r="J20" i="10" a="1"/>
  <c r="J20" i="10" s="1"/>
  <c r="J21" i="10" a="1"/>
  <c r="J21" i="10" s="1"/>
  <c r="J2" i="10" a="1"/>
  <c r="J2" i="10" s="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D3" i="12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" i="10"/>
  <c r="C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Q4" i="7"/>
  <c r="Q5" i="7"/>
  <c r="Q6" i="7"/>
  <c r="Q7" i="7"/>
  <c r="Q8" i="7"/>
  <c r="Q9" i="7"/>
  <c r="Q10" i="7"/>
  <c r="Q11" i="7"/>
  <c r="Q12" i="7"/>
  <c r="Q3" i="7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10" i="7" l="1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<sst xmlns="http://schemas.openxmlformats.org/spreadsheetml/2006/main" count="81" uniqueCount="60">
  <si>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</si>
  <si>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</si>
  <si>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</si>
  <si>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</si>
  <si>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</si>
  <si>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</si>
  <si>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</si>
  <si>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</si>
  <si>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</si>
  <si>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</si>
  <si>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</si>
  <si>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</si>
  <si>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</si>
  <si>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</si>
  <si>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</si>
  <si>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</si>
  <si>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</si>
  <si>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</si>
  <si>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</si>
  <si>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</si>
  <si>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</si>
  <si>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</si>
  <si>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</si>
  <si>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</si>
  <si>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</si>
  <si>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</si>
  <si>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</si>
  <si>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</si>
  <si>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</si>
  <si>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</si>
  <si>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</si>
  <si>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</si>
  <si>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</si>
  <si>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</si>
  <si>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</si>
  <si>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</si>
  <si>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</si>
  <si>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</si>
  <si>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</si>
  <si>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</si>
  <si>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</si>
  <si>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</si>
  <si>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</si>
  <si>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</si>
  <si>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</si>
  <si>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</si>
  <si>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</si>
  <si>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salary_year_avg</t>
  </si>
  <si>
    <t>Senior Data Engineer</t>
  </si>
  <si>
    <t>Senior Data Analyst</t>
  </si>
  <si>
    <t>Senior Data Scientist</t>
  </si>
  <si>
    <t>Business Analyst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</si>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</sst>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2" borderId="14" xfId="0" applyFont="1" applyFill="1" applyBorder="1" applyAlignment="1">
      <alignment horizontal="center" wrapText="1"/>
    </xf>
    <xf numFmtId="0" fontId="3" fillId="0" borderId="15" xfId="0" applyFont="1" applyBorder="1"/>
    <xf numFmtId="0" fontId="6" fillId="0" borderId="1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4" xfId="0" quotePrefix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abSelected="1" zoomScale="120" zoomScaleNormal="120" workbookViewId="0">
      <selection activeCell="B15" sqref="B15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8.26953125" style="1" bestFit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customWidth="1"/>
    <col min="13" max="13" width="9.1796875" style="1" customWidth="1"/>
    <col min="14" max="14" width="10.453125" style="1" hidden="1" customWidth="1"/>
    <col min="15" max="15" width="14.1796875" style="1" hidden="1" customWidth="1"/>
    <col min="16" max="16" width="9.6328125" style="1" customWidth="1"/>
    <col min="17" max="17" width="9.1796875" style="1"/>
    <col min="18" max="18" width="14.1796875" style="1" bestFit="1" customWidth="1"/>
    <col min="19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29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0" t="str">
        <f>IF(P3,"Goal Met","Not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0" t="str">
        <f t="shared" ref="Q4:Q12" si="11">IF(P4,"Goal Met","Not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0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0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0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0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0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0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0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0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J21"/>
  <sheetViews>
    <sheetView zoomScale="112" zoomScaleNormal="112" workbookViewId="0">
      <selection activeCell="J2" sqref="J2:J21"/>
    </sheetView>
  </sheetViews>
  <sheetFormatPr defaultRowHeight="14.5" x14ac:dyDescent="0.35"/>
  <cols>
    <col min="1" max="1" width="16.81640625" bestFit="1" customWidth="1"/>
    <col min="2" max="2" width="13.81640625" bestFit="1" customWidth="1"/>
    <col min="3" max="3" width="10.90625" bestFit="1" customWidth="1"/>
    <col min="4" max="4" width="14.26953125" bestFit="1" customWidth="1"/>
    <col min="5" max="5" width="11.7265625" bestFit="1" customWidth="1"/>
    <col min="6" max="6" width="7" bestFit="1" customWidth="1"/>
    <col min="7" max="7" width="5.7265625" bestFit="1" customWidth="1"/>
    <col min="8" max="8" width="11.26953125" bestFit="1" customWidth="1"/>
    <col min="9" max="10" width="10" bestFit="1" customWidth="1"/>
  </cols>
  <sheetData>
    <row r="1" spans="1:10" x14ac:dyDescent="0.35">
      <c r="A1" s="31" t="s">
        <v>46</v>
      </c>
      <c r="B1" s="31" t="s">
        <v>47</v>
      </c>
      <c r="C1" s="32" t="s">
        <v>2</v>
      </c>
      <c r="D1" s="32" t="s">
        <v>51</v>
      </c>
      <c r="E1" s="32" t="s">
        <v>52</v>
      </c>
      <c r="F1" s="32" t="s">
        <v>57</v>
      </c>
      <c r="G1" s="32" t="s">
        <v>58</v>
      </c>
      <c r="H1" s="32" t="s">
        <v>52</v>
      </c>
      <c r="I1" s="32">
        <v>85000</v>
      </c>
      <c r="J1" s="32" t="s">
        <v>59</v>
      </c>
    </row>
    <row r="2" spans="1:10" x14ac:dyDescent="0.35">
      <c r="A2" s="27" t="s">
        <v>48</v>
      </c>
      <c r="B2" s="27">
        <v>135000</v>
      </c>
      <c r="C2" t="str">
        <f>IF(A2=$C$1,"Role_Desired","Not Desired")</f>
        <v>Not Desired</v>
      </c>
      <c r="D2" t="str">
        <f>IF(A2=$D$1,"Role_Desired","Not Desired")</f>
        <v>Not Desired</v>
      </c>
      <c r="E2" t="str">
        <f>IF(A2=$C$1,"Role_Desired",IF(A2=$D$1,"Role_Desired","Not Desired"))</f>
        <v>Not Desired</v>
      </c>
      <c r="F2" t="b">
        <f>AND(A2=$C$1,A2=$D$1)</f>
        <v>0</v>
      </c>
      <c r="G2" t="b">
        <f>OR(A2=$C$1,A2=$D$1)</f>
        <v>0</v>
      </c>
      <c r="H2" t="str">
        <f>IF(OR(A2=$C$1,A2=$D$1),"Role Desired","Not Desired")</f>
        <v>Not Desired</v>
      </c>
      <c r="I2" t="str">
        <f>IF(B2&gt;$I$1,"Salary High","Salary Low")</f>
        <v>Salary High</v>
      </c>
      <c r="J2" t="str" cm="1">
        <f t="array" ref="J2">_xlfn.IFS(B2="","No Data",B2&gt;=$I$1,"Salary High",TRUE,"Salary Low")</f>
        <v>Salary High</v>
      </c>
    </row>
    <row r="3" spans="1:10" x14ac:dyDescent="0.35">
      <c r="A3" s="27" t="s">
        <v>2</v>
      </c>
      <c r="B3" s="27">
        <v>35000</v>
      </c>
      <c r="C3" t="str">
        <f t="shared" ref="C3:C21" si="0">IF(A3=$C$1,"Role_Desired","Not Desired")</f>
        <v>Role_Desired</v>
      </c>
      <c r="D3" t="str">
        <f t="shared" ref="D3:D21" si="1">IF(A3=$D$1,"Role_Desired","Not Desired")</f>
        <v>Not Desired</v>
      </c>
      <c r="E3" t="str">
        <f t="shared" ref="E3:E21" si="2">IF(A3=$C$1,"Role_Desired",IF(A3=$D$1,"Role_Desired","Not Desired"))</f>
        <v>Role_Desired</v>
      </c>
      <c r="F3" t="b">
        <f t="shared" ref="F3:F21" si="3">AND(A3=$C$1,A3=$D$1)</f>
        <v>0</v>
      </c>
      <c r="G3" t="b">
        <f t="shared" ref="G3:G21" si="4">OR(A3=$C$1,A3=$D$1)</f>
        <v>1</v>
      </c>
      <c r="H3" t="str">
        <f t="shared" ref="H3:H21" si="5">IF(OR(A3=$C$1,A3=$D$1),"Role Desired","Not Desired")</f>
        <v>Role Desired</v>
      </c>
      <c r="I3" t="str">
        <f t="shared" ref="I3:I21" si="6">IF(B3&gt;$I$1,"Salary High","Salary Low")</f>
        <v>Salary Low</v>
      </c>
      <c r="J3" t="str" cm="1">
        <f t="array" ref="J3">_xlfn.IFS(B3="","No Data",B3&gt;=$I$1,"Salary High",TRUE,"Salary Low")</f>
        <v>Salary Low</v>
      </c>
    </row>
    <row r="4" spans="1:10" x14ac:dyDescent="0.35">
      <c r="A4" s="27" t="s">
        <v>2</v>
      </c>
      <c r="B4" s="27"/>
      <c r="C4" t="str">
        <f t="shared" si="0"/>
        <v>Role_Desired</v>
      </c>
      <c r="D4" t="str">
        <f t="shared" si="1"/>
        <v>Not Desired</v>
      </c>
      <c r="E4" t="str">
        <f t="shared" si="2"/>
        <v>Role_Desired</v>
      </c>
      <c r="F4" t="b">
        <f t="shared" si="3"/>
        <v>0</v>
      </c>
      <c r="G4" t="b">
        <f t="shared" si="4"/>
        <v>1</v>
      </c>
      <c r="H4" t="str">
        <f t="shared" si="5"/>
        <v>Role Desired</v>
      </c>
      <c r="I4" t="str">
        <f t="shared" si="6"/>
        <v>Salary Low</v>
      </c>
      <c r="J4" t="str" cm="1">
        <f t="array" ref="J4">_xlfn.IFS(B4="","No Data",B4&gt;=$I$1,"Salary High",TRUE,"Salary Low")</f>
        <v>No Data</v>
      </c>
    </row>
    <row r="5" spans="1:10" x14ac:dyDescent="0.35">
      <c r="A5" s="27" t="s">
        <v>0</v>
      </c>
      <c r="B5" s="27"/>
      <c r="C5" t="str">
        <f t="shared" si="0"/>
        <v>Not Desired</v>
      </c>
      <c r="D5" t="str">
        <f t="shared" si="1"/>
        <v>Not Desired</v>
      </c>
      <c r="E5" t="str">
        <f t="shared" si="2"/>
        <v>Not Desired</v>
      </c>
      <c r="F5" t="b">
        <f t="shared" si="3"/>
        <v>0</v>
      </c>
      <c r="G5" t="b">
        <f t="shared" si="4"/>
        <v>0</v>
      </c>
      <c r="H5" t="str">
        <f t="shared" si="5"/>
        <v>Not Desired</v>
      </c>
      <c r="I5" t="str">
        <f t="shared" si="6"/>
        <v>Salary Low</v>
      </c>
      <c r="J5" t="str" cm="1">
        <f t="array" ref="J5">_xlfn.IFS(B5="","No Data",B5&gt;=$I$1,"Salary High",TRUE,"Salary Low")</f>
        <v>No Data</v>
      </c>
    </row>
    <row r="6" spans="1:10" x14ac:dyDescent="0.35">
      <c r="A6" s="27" t="s">
        <v>49</v>
      </c>
      <c r="B6" s="27"/>
      <c r="C6" t="str">
        <f t="shared" si="0"/>
        <v>Not Desired</v>
      </c>
      <c r="D6" t="str">
        <f t="shared" si="1"/>
        <v>Not Desired</v>
      </c>
      <c r="E6" t="str">
        <f t="shared" si="2"/>
        <v>Not Desired</v>
      </c>
      <c r="F6" t="b">
        <f t="shared" si="3"/>
        <v>0</v>
      </c>
      <c r="G6" t="b">
        <f t="shared" si="4"/>
        <v>0</v>
      </c>
      <c r="H6" t="str">
        <f t="shared" si="5"/>
        <v>Not Desired</v>
      </c>
      <c r="I6" t="str">
        <f t="shared" si="6"/>
        <v>Salary Low</v>
      </c>
      <c r="J6" t="str" cm="1">
        <f t="array" ref="J6">_xlfn.IFS(B6="","No Data",B6&gt;=$I$1,"Salary High",TRUE,"Salary Low")</f>
        <v>No Data</v>
      </c>
    </row>
    <row r="7" spans="1:10" x14ac:dyDescent="0.35">
      <c r="A7" s="27" t="s">
        <v>0</v>
      </c>
      <c r="B7" s="27"/>
      <c r="C7" t="str">
        <f t="shared" si="0"/>
        <v>Not Desired</v>
      </c>
      <c r="D7" t="str">
        <f t="shared" si="1"/>
        <v>Not Desired</v>
      </c>
      <c r="E7" t="str">
        <f t="shared" si="2"/>
        <v>Not Desired</v>
      </c>
      <c r="F7" t="b">
        <f t="shared" si="3"/>
        <v>0</v>
      </c>
      <c r="G7" t="b">
        <f t="shared" si="4"/>
        <v>0</v>
      </c>
      <c r="H7" t="str">
        <f t="shared" si="5"/>
        <v>Not Desired</v>
      </c>
      <c r="I7" t="str">
        <f t="shared" si="6"/>
        <v>Salary Low</v>
      </c>
      <c r="J7" t="str" cm="1">
        <f t="array" ref="J7">_xlfn.IFS(B7="","No Data",B7&gt;=$I$1,"Salary High",TRUE,"Salary Low")</f>
        <v>No Data</v>
      </c>
    </row>
    <row r="8" spans="1:10" x14ac:dyDescent="0.35">
      <c r="A8" s="27" t="s">
        <v>2</v>
      </c>
      <c r="B8" s="27"/>
      <c r="C8" t="str">
        <f t="shared" si="0"/>
        <v>Role_Desired</v>
      </c>
      <c r="D8" t="str">
        <f t="shared" si="1"/>
        <v>Not Desired</v>
      </c>
      <c r="E8" t="str">
        <f t="shared" si="2"/>
        <v>Role_Desired</v>
      </c>
      <c r="F8" t="b">
        <f t="shared" si="3"/>
        <v>0</v>
      </c>
      <c r="G8" t="b">
        <f t="shared" si="4"/>
        <v>1</v>
      </c>
      <c r="H8" t="str">
        <f t="shared" si="5"/>
        <v>Role Desired</v>
      </c>
      <c r="I8" t="str">
        <f t="shared" si="6"/>
        <v>Salary Low</v>
      </c>
      <c r="J8" t="str" cm="1">
        <f t="array" ref="J8">_xlfn.IFS(B8="","No Data",B8&gt;=$I$1,"Salary High",TRUE,"Salary Low")</f>
        <v>No Data</v>
      </c>
    </row>
    <row r="9" spans="1:10" x14ac:dyDescent="0.35">
      <c r="A9" s="27" t="s">
        <v>2</v>
      </c>
      <c r="B9" s="27">
        <v>115000</v>
      </c>
      <c r="C9" t="str">
        <f t="shared" si="0"/>
        <v>Role_Desired</v>
      </c>
      <c r="D9" t="str">
        <f t="shared" si="1"/>
        <v>Not Desired</v>
      </c>
      <c r="E9" t="str">
        <f t="shared" si="2"/>
        <v>Role_Desired</v>
      </c>
      <c r="F9" t="b">
        <f t="shared" si="3"/>
        <v>0</v>
      </c>
      <c r="G9" t="b">
        <f t="shared" si="4"/>
        <v>1</v>
      </c>
      <c r="H9" t="str">
        <f t="shared" si="5"/>
        <v>Role Desired</v>
      </c>
      <c r="I9" t="str">
        <f t="shared" si="6"/>
        <v>Salary High</v>
      </c>
      <c r="J9" t="str" cm="1">
        <f t="array" ref="J9">_xlfn.IFS(B9="","No Data",B9&gt;=$I$1,"Salary High",TRUE,"Salary Low")</f>
        <v>Salary High</v>
      </c>
    </row>
    <row r="10" spans="1:10" x14ac:dyDescent="0.35">
      <c r="A10" s="27" t="s">
        <v>2</v>
      </c>
      <c r="B10" s="27"/>
      <c r="C10" t="str">
        <f t="shared" si="0"/>
        <v>Role_Desired</v>
      </c>
      <c r="D10" t="str">
        <f t="shared" si="1"/>
        <v>Not Desired</v>
      </c>
      <c r="E10" t="str">
        <f t="shared" si="2"/>
        <v>Role_Desired</v>
      </c>
      <c r="F10" t="b">
        <f t="shared" si="3"/>
        <v>0</v>
      </c>
      <c r="G10" t="b">
        <f t="shared" si="4"/>
        <v>1</v>
      </c>
      <c r="H10" t="str">
        <f t="shared" si="5"/>
        <v>Role Desired</v>
      </c>
      <c r="I10" t="str">
        <f t="shared" si="6"/>
        <v>Salary Low</v>
      </c>
      <c r="J10" t="str" cm="1">
        <f t="array" ref="J10">_xlfn.IFS(B10="","No Data",B10&gt;=$I$1,"Salary High",TRUE,"Salary Low")</f>
        <v>No Data</v>
      </c>
    </row>
    <row r="11" spans="1:10" x14ac:dyDescent="0.35">
      <c r="A11" s="27" t="s">
        <v>2</v>
      </c>
      <c r="B11" s="27">
        <v>105000</v>
      </c>
      <c r="C11" t="str">
        <f t="shared" si="0"/>
        <v>Role_Desired</v>
      </c>
      <c r="D11" t="str">
        <f t="shared" si="1"/>
        <v>Not Desired</v>
      </c>
      <c r="E11" t="str">
        <f t="shared" si="2"/>
        <v>Role_Desired</v>
      </c>
      <c r="F11" t="b">
        <f t="shared" si="3"/>
        <v>0</v>
      </c>
      <c r="G11" t="b">
        <f t="shared" si="4"/>
        <v>1</v>
      </c>
      <c r="H11" t="str">
        <f t="shared" si="5"/>
        <v>Role Desired</v>
      </c>
      <c r="I11" t="str">
        <f t="shared" si="6"/>
        <v>Salary High</v>
      </c>
      <c r="J11" t="str" cm="1">
        <f t="array" ref="J11">_xlfn.IFS(B11="","No Data",B11&gt;=$I$1,"Salary High",TRUE,"Salary Low")</f>
        <v>Salary High</v>
      </c>
    </row>
    <row r="12" spans="1:10" x14ac:dyDescent="0.35">
      <c r="A12" s="27" t="s">
        <v>0</v>
      </c>
      <c r="B12" s="27">
        <v>195000</v>
      </c>
      <c r="C12" t="str">
        <f t="shared" si="0"/>
        <v>Not Desired</v>
      </c>
      <c r="D12" t="str">
        <f t="shared" si="1"/>
        <v>Not Desired</v>
      </c>
      <c r="E12" t="str">
        <f t="shared" si="2"/>
        <v>Not Desired</v>
      </c>
      <c r="F12" t="b">
        <f t="shared" si="3"/>
        <v>0</v>
      </c>
      <c r="G12" t="b">
        <f t="shared" si="4"/>
        <v>0</v>
      </c>
      <c r="H12" t="str">
        <f t="shared" si="5"/>
        <v>Not Desired</v>
      </c>
      <c r="I12" t="str">
        <f t="shared" si="6"/>
        <v>Salary High</v>
      </c>
      <c r="J12" t="str" cm="1">
        <f t="array" ref="J12">_xlfn.IFS(B12="","No Data",B12&gt;=$I$1,"Salary High",TRUE,"Salary Low")</f>
        <v>Salary High</v>
      </c>
    </row>
    <row r="13" spans="1:10" x14ac:dyDescent="0.35">
      <c r="A13" s="27" t="s">
        <v>50</v>
      </c>
      <c r="B13" s="27">
        <v>165000</v>
      </c>
      <c r="C13" t="str">
        <f t="shared" si="0"/>
        <v>Not Desired</v>
      </c>
      <c r="D13" t="str">
        <f t="shared" si="1"/>
        <v>Not Desired</v>
      </c>
      <c r="E13" t="str">
        <f t="shared" si="2"/>
        <v>Not Desired</v>
      </c>
      <c r="F13" t="b">
        <f t="shared" si="3"/>
        <v>0</v>
      </c>
      <c r="G13" t="b">
        <f t="shared" si="4"/>
        <v>0</v>
      </c>
      <c r="H13" t="str">
        <f t="shared" si="5"/>
        <v>Not Desired</v>
      </c>
      <c r="I13" t="str">
        <f t="shared" si="6"/>
        <v>Salary High</v>
      </c>
      <c r="J13" t="str" cm="1">
        <f t="array" ref="J13">_xlfn.IFS(B13="","No Data",B13&gt;=$I$1,"Salary High",TRUE,"Salary Low")</f>
        <v>Salary High</v>
      </c>
    </row>
    <row r="14" spans="1:10" x14ac:dyDescent="0.35">
      <c r="A14" s="27" t="s">
        <v>0</v>
      </c>
      <c r="B14" s="27">
        <v>281450.5</v>
      </c>
      <c r="C14" t="str">
        <f t="shared" si="0"/>
        <v>Not Desired</v>
      </c>
      <c r="D14" t="str">
        <f t="shared" si="1"/>
        <v>Not Desired</v>
      </c>
      <c r="E14" t="str">
        <f t="shared" si="2"/>
        <v>Not Desired</v>
      </c>
      <c r="F14" t="b">
        <f t="shared" si="3"/>
        <v>0</v>
      </c>
      <c r="G14" t="b">
        <f t="shared" si="4"/>
        <v>0</v>
      </c>
      <c r="H14" t="str">
        <f t="shared" si="5"/>
        <v>Not Desired</v>
      </c>
      <c r="I14" t="str">
        <f t="shared" si="6"/>
        <v>Salary High</v>
      </c>
      <c r="J14" t="str" cm="1">
        <f t="array" ref="J14">_xlfn.IFS(B14="","No Data",B14&gt;=$I$1,"Salary High",TRUE,"Salary Low")</f>
        <v>Salary High</v>
      </c>
    </row>
    <row r="15" spans="1:10" x14ac:dyDescent="0.35">
      <c r="A15" s="27" t="s">
        <v>0</v>
      </c>
      <c r="B15" s="27">
        <v>70000</v>
      </c>
      <c r="C15" t="str">
        <f t="shared" si="0"/>
        <v>Not Desired</v>
      </c>
      <c r="D15" t="str">
        <f t="shared" si="1"/>
        <v>Not Desired</v>
      </c>
      <c r="E15" t="str">
        <f t="shared" si="2"/>
        <v>Not Desired</v>
      </c>
      <c r="F15" t="b">
        <f t="shared" si="3"/>
        <v>0</v>
      </c>
      <c r="G15" t="b">
        <f t="shared" si="4"/>
        <v>0</v>
      </c>
      <c r="H15" t="str">
        <f t="shared" si="5"/>
        <v>Not Desired</v>
      </c>
      <c r="I15" t="str">
        <f t="shared" si="6"/>
        <v>Salary Low</v>
      </c>
      <c r="J15" t="str" cm="1">
        <f t="array" ref="J15">_xlfn.IFS(B15="","No Data",B15&gt;=$I$1,"Salary High",TRUE,"Salary Low")</f>
        <v>Salary Low</v>
      </c>
    </row>
    <row r="16" spans="1:10" x14ac:dyDescent="0.35">
      <c r="A16" s="27" t="s">
        <v>4</v>
      </c>
      <c r="B16" s="27">
        <v>98301.5</v>
      </c>
      <c r="C16" t="str">
        <f t="shared" si="0"/>
        <v>Not Desired</v>
      </c>
      <c r="D16" t="str">
        <f t="shared" si="1"/>
        <v>Not Desired</v>
      </c>
      <c r="E16" t="str">
        <f t="shared" si="2"/>
        <v>Not Desired</v>
      </c>
      <c r="F16" t="b">
        <f t="shared" si="3"/>
        <v>0</v>
      </c>
      <c r="G16" t="b">
        <f t="shared" si="4"/>
        <v>0</v>
      </c>
      <c r="H16" t="str">
        <f t="shared" si="5"/>
        <v>Not Desired</v>
      </c>
      <c r="I16" t="str">
        <f t="shared" si="6"/>
        <v>Salary High</v>
      </c>
      <c r="J16" t="str" cm="1">
        <f t="array" ref="J16">_xlfn.IFS(B16="","No Data",B16&gt;=$I$1,"Salary High",TRUE,"Salary Low")</f>
        <v>Salary High</v>
      </c>
    </row>
    <row r="17" spans="1:10" x14ac:dyDescent="0.35">
      <c r="A17" s="27" t="s">
        <v>4</v>
      </c>
      <c r="B17" s="27">
        <v>89100</v>
      </c>
      <c r="C17" t="str">
        <f t="shared" si="0"/>
        <v>Not Desired</v>
      </c>
      <c r="D17" t="str">
        <f t="shared" si="1"/>
        <v>Not Desired</v>
      </c>
      <c r="E17" t="str">
        <f t="shared" si="2"/>
        <v>Not Desired</v>
      </c>
      <c r="F17" t="b">
        <f t="shared" si="3"/>
        <v>0</v>
      </c>
      <c r="G17" t="b">
        <f t="shared" si="4"/>
        <v>0</v>
      </c>
      <c r="H17" t="str">
        <f t="shared" si="5"/>
        <v>Not Desired</v>
      </c>
      <c r="I17" t="str">
        <f t="shared" si="6"/>
        <v>Salary High</v>
      </c>
      <c r="J17" t="str" cm="1">
        <f t="array" ref="J17">_xlfn.IFS(B17="","No Data",B17&gt;=$I$1,"Salary High",TRUE,"Salary Low")</f>
        <v>Salary High</v>
      </c>
    </row>
    <row r="18" spans="1:10" x14ac:dyDescent="0.35">
      <c r="A18" s="27" t="s">
        <v>51</v>
      </c>
      <c r="B18" s="27"/>
      <c r="C18" t="str">
        <f t="shared" si="0"/>
        <v>Not Desired</v>
      </c>
      <c r="D18" t="str">
        <f t="shared" si="1"/>
        <v>Role_Desired</v>
      </c>
      <c r="E18" t="str">
        <f t="shared" si="2"/>
        <v>Role_Desired</v>
      </c>
      <c r="F18" t="b">
        <f t="shared" si="3"/>
        <v>0</v>
      </c>
      <c r="G18" t="b">
        <f t="shared" si="4"/>
        <v>1</v>
      </c>
      <c r="H18" t="str">
        <f t="shared" si="5"/>
        <v>Role Desired</v>
      </c>
      <c r="I18" t="str">
        <f t="shared" si="6"/>
        <v>Salary Low</v>
      </c>
      <c r="J18" t="str" cm="1">
        <f t="array" ref="J18">_xlfn.IFS(B18="","No Data",B18&gt;=$I$1,"Salary High",TRUE,"Salary Low")</f>
        <v>No Data</v>
      </c>
    </row>
    <row r="19" spans="1:10" x14ac:dyDescent="0.35">
      <c r="A19" s="27" t="s">
        <v>0</v>
      </c>
      <c r="B19" s="27">
        <v>87500</v>
      </c>
      <c r="C19" t="str">
        <f t="shared" si="0"/>
        <v>Not Desired</v>
      </c>
      <c r="D19" t="str">
        <f t="shared" si="1"/>
        <v>Not Desired</v>
      </c>
      <c r="E19" t="str">
        <f t="shared" si="2"/>
        <v>Not Desired</v>
      </c>
      <c r="F19" t="b">
        <f t="shared" si="3"/>
        <v>0</v>
      </c>
      <c r="G19" t="b">
        <f t="shared" si="4"/>
        <v>0</v>
      </c>
      <c r="H19" t="str">
        <f t="shared" si="5"/>
        <v>Not Desired</v>
      </c>
      <c r="I19" t="str">
        <f t="shared" si="6"/>
        <v>Salary High</v>
      </c>
      <c r="J19" t="str" cm="1">
        <f t="array" ref="J19">_xlfn.IFS(B19="","No Data",B19&gt;=$I$1,"Salary High",TRUE,"Salary Low")</f>
        <v>Salary High</v>
      </c>
    </row>
    <row r="20" spans="1:10" x14ac:dyDescent="0.35">
      <c r="A20" s="27" t="s">
        <v>0</v>
      </c>
      <c r="B20" s="27"/>
      <c r="C20" t="str">
        <f t="shared" si="0"/>
        <v>Not Desired</v>
      </c>
      <c r="D20" t="str">
        <f t="shared" si="1"/>
        <v>Not Desired</v>
      </c>
      <c r="E20" t="str">
        <f t="shared" si="2"/>
        <v>Not Desired</v>
      </c>
      <c r="F20" t="b">
        <f t="shared" si="3"/>
        <v>0</v>
      </c>
      <c r="G20" t="b">
        <f t="shared" si="4"/>
        <v>0</v>
      </c>
      <c r="H20" t="str">
        <f t="shared" si="5"/>
        <v>Not Desired</v>
      </c>
      <c r="I20" t="str">
        <f t="shared" si="6"/>
        <v>Salary Low</v>
      </c>
      <c r="J20" t="str" cm="1">
        <f t="array" ref="J20">_xlfn.IFS(B20="","No Data",B20&gt;=$I$1,"Salary High",TRUE,"Salary Low")</f>
        <v>No Data</v>
      </c>
    </row>
    <row r="21" spans="1:10" x14ac:dyDescent="0.35">
      <c r="A21" s="27" t="s">
        <v>51</v>
      </c>
      <c r="B21" s="27">
        <v>90000</v>
      </c>
      <c r="C21" t="str">
        <f t="shared" si="0"/>
        <v>Not Desired</v>
      </c>
      <c r="D21" t="str">
        <f t="shared" si="1"/>
        <v>Role_Desired</v>
      </c>
      <c r="E21" t="str">
        <f t="shared" si="2"/>
        <v>Role_Desired</v>
      </c>
      <c r="F21" t="b">
        <f t="shared" si="3"/>
        <v>0</v>
      </c>
      <c r="G21" t="b">
        <f t="shared" si="4"/>
        <v>1</v>
      </c>
      <c r="H21" t="str">
        <f t="shared" si="5"/>
        <v>Role Desired</v>
      </c>
      <c r="I21" t="str">
        <f t="shared" si="6"/>
        <v>Salary High</v>
      </c>
      <c r="J21" t="str" cm="1">
        <f t="array" ref="J21">_xlfn.IFS(B21="","No Data",B21&gt;=$I$1,"Salary High",TRUE,"Salary Low")</f>
        <v>Salary High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5" x14ac:dyDescent="0.35"/>
  <cols>
    <col min="1" max="1" width="6.54296875" customWidth="1"/>
    <col min="2" max="2" width="13.453125" customWidth="1"/>
    <col min="3" max="3" width="31.453125" bestFit="1" customWidth="1"/>
    <col min="4" max="4" width="60.453125" bestFit="1" customWidth="1"/>
    <col min="5" max="5" width="19.6328125" bestFit="1" customWidth="1"/>
    <col min="6" max="6" width="17.54296875" bestFit="1" customWidth="1"/>
  </cols>
  <sheetData>
    <row r="2" spans="2:6" x14ac:dyDescent="0.35">
      <c r="B2" s="26" t="s">
        <v>28</v>
      </c>
      <c r="C2" s="26" t="s">
        <v>36</v>
      </c>
      <c r="D2" s="26" t="s">
        <v>29</v>
      </c>
      <c r="E2" s="41" t="s">
        <v>55</v>
      </c>
      <c r="F2" s="41" t="s">
        <v>56</v>
      </c>
    </row>
    <row r="3" spans="2:6" x14ac:dyDescent="0.3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"/>
    </sheetView>
  </sheetViews>
  <sheetFormatPr defaultRowHeight="14.5" x14ac:dyDescent="0.35"/>
  <cols>
    <col min="2" max="2" width="9.81640625" bestFit="1" customWidth="1"/>
    <col min="3" max="3" width="10.54296875" customWidth="1"/>
  </cols>
  <sheetData>
    <row r="1" spans="2:5" ht="15" thickBot="1" x14ac:dyDescent="0.4"/>
    <row r="2" spans="2:5" x14ac:dyDescent="0.35">
      <c r="B2" s="33" t="s">
        <v>53</v>
      </c>
      <c r="C2" s="34" t="s">
        <v>54</v>
      </c>
      <c r="D2" s="42" t="s">
        <v>57</v>
      </c>
      <c r="E2" s="42" t="s">
        <v>58</v>
      </c>
    </row>
    <row r="3" spans="2:5" x14ac:dyDescent="0.35">
      <c r="B3" s="35" t="b">
        <v>1</v>
      </c>
      <c r="C3" s="36" t="b">
        <v>1</v>
      </c>
      <c r="D3" s="39" t="b">
        <f>AND(B3,C3)</f>
        <v>1</v>
      </c>
      <c r="E3" s="39" t="b">
        <f>OR(B3,C3)</f>
        <v>1</v>
      </c>
    </row>
    <row r="4" spans="2:5" x14ac:dyDescent="0.35">
      <c r="B4" s="35" t="b">
        <v>1</v>
      </c>
      <c r="C4" s="36" t="b">
        <v>0</v>
      </c>
      <c r="D4" s="39" t="b">
        <f t="shared" ref="D4:D6" si="0">AND(B4,C4)</f>
        <v>0</v>
      </c>
      <c r="E4" s="39" t="b">
        <f t="shared" ref="E4:E6" si="1">OR(B4,C4)</f>
        <v>1</v>
      </c>
    </row>
    <row r="5" spans="2:5" x14ac:dyDescent="0.35">
      <c r="B5" s="35" t="b">
        <v>0</v>
      </c>
      <c r="C5" s="36" t="b">
        <v>1</v>
      </c>
      <c r="D5" s="39" t="b">
        <f t="shared" si="0"/>
        <v>0</v>
      </c>
      <c r="E5" s="39" t="b">
        <f t="shared" si="1"/>
        <v>1</v>
      </c>
    </row>
    <row r="6" spans="2:5" ht="15" thickBot="1" x14ac:dyDescent="0.4">
      <c r="B6" s="37" t="b">
        <v>0</v>
      </c>
      <c r="C6" s="38" t="b">
        <v>0</v>
      </c>
      <c r="D6" s="40" t="b">
        <f t="shared" si="0"/>
        <v>0</v>
      </c>
      <c r="E6" s="40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Data_1</vt:lpstr>
      <vt:lpstr>Data_2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Gulam Rasool</cp:lastModifiedBy>
  <dcterms:created xsi:type="dcterms:W3CDTF">2024-07-16T20:11:02Z</dcterms:created>
  <dcterms:modified xsi:type="dcterms:W3CDTF">2026-07-15T10:41:38Z</dcterms:modified>
</cp:coreProperties>
</file>